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Ontario Tech\IoT_Lab\"/>
    </mc:Choice>
  </mc:AlternateContent>
  <xr:revisionPtr revIDLastSave="0" documentId="8_{587C84AB-C193-4CB7-8FC5-AD965861E370}" xr6:coauthVersionLast="36" xr6:coauthVersionMax="36" xr10:uidLastSave="{00000000-0000-0000-0000-000000000000}"/>
  <bookViews>
    <workbookView xWindow="0" yWindow="0" windowWidth="16380" windowHeight="8196" tabRatio="500" firstSheet="1" activeTab="4" xr2:uid="{00000000-000D-0000-FFFF-FFFF00000000}"/>
  </bookViews>
  <sheets>
    <sheet name="📋 Guide" sheetId="1" r:id="rId1"/>
    <sheet name="1️⃣  Baselines" sheetId="2" r:id="rId2"/>
    <sheet name="2️⃣  Standard TTA" sheetId="3" r:id="rId3"/>
    <sheet name="3️⃣  Weighted TTA" sheetId="4" r:id="rId4"/>
    <sheet name="4️⃣  Ablation N" sheetId="5" r:id="rId5"/>
    <sheet name="5️⃣  Ablation Augments" sheetId="6" r:id="rId6"/>
    <sheet name="6️⃣  Inference Time" sheetId="7" r:id="rId7"/>
    <sheet name="7️⃣  Statistical Tests" sheetId="8" r:id="rId8"/>
    <sheet name="📊 Paper Summary" sheetId="9" r:id="rId9"/>
  </sheets>
  <calcPr calcId="17902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3" i="9" l="1"/>
  <c r="F13" i="9"/>
  <c r="I12" i="9"/>
  <c r="F12" i="9"/>
  <c r="I11" i="9"/>
  <c r="F11" i="9"/>
  <c r="I10" i="9"/>
  <c r="F10" i="9"/>
  <c r="I9" i="9"/>
  <c r="F9" i="9"/>
  <c r="I8" i="9"/>
  <c r="F8" i="9"/>
  <c r="F12" i="8"/>
  <c r="F11" i="8"/>
  <c r="F10" i="8"/>
  <c r="F9" i="8"/>
  <c r="F8" i="8"/>
  <c r="F7" i="8"/>
  <c r="I13" i="7"/>
  <c r="I12" i="7"/>
  <c r="I11" i="7"/>
  <c r="I10" i="7"/>
  <c r="I9" i="7"/>
  <c r="I8" i="7"/>
  <c r="N13" i="6"/>
  <c r="N12" i="6"/>
  <c r="N11" i="6"/>
  <c r="N10" i="6"/>
  <c r="N9" i="6"/>
  <c r="N8" i="6"/>
</calcChain>
</file>

<file path=xl/sharedStrings.xml><?xml version="1.0" encoding="utf-8"?>
<sst xmlns="http://schemas.openxmlformats.org/spreadsheetml/2006/main" count="366" uniqueCount="187">
  <si>
    <t>Uncertainty-Weighted TTA — Results Tracker</t>
  </si>
  <si>
    <t>5 Students · 6 Datasets · 17 Days · Mohamed Hafez</t>
  </si>
  <si>
    <t>SHEET</t>
  </si>
  <si>
    <t>📋 Guide</t>
  </si>
  <si>
    <t>This page — how to use the workbook</t>
  </si>
  <si>
    <t>1️⃣  Baselines</t>
  </si>
  <si>
    <t>Phase 1 — Record trained model baselines (Accuracy, AUC, ECE, NLL) per dataset</t>
  </si>
  <si>
    <t>2️⃣  Standard TTA</t>
  </si>
  <si>
    <t>Phase 2 — Record equal-weight TTA results across N=5,10,20,50 views</t>
  </si>
  <si>
    <t>3️⃣  Weighted TTA</t>
  </si>
  <si>
    <t>Phase 3 — Full results matrix: 6 datasets × 5 strategies × all metrics</t>
  </si>
  <si>
    <t>4️⃣  Ablation N</t>
  </si>
  <si>
    <t>Phase 4 — Effect of number of views N on best strategy</t>
  </si>
  <si>
    <t>5️⃣  Ablation Augments</t>
  </si>
  <si>
    <t>Phase 4 — Leave-one-out augmentation importance</t>
  </si>
  <si>
    <t>6️⃣  Inference Time</t>
  </si>
  <si>
    <t>Phase 4 — Latency vs accuracy tradeoff</t>
  </si>
  <si>
    <t>7️⃣  Statistical Tests</t>
  </si>
  <si>
    <t>Phase 4 — p-values for weighted vs standard TTA</t>
  </si>
  <si>
    <t>📊 Paper Summary</t>
  </si>
  <si>
    <t>Auto-summary table ready to copy into the paper</t>
  </si>
  <si>
    <t>FILLING INSTRUCTIONS</t>
  </si>
  <si>
    <t>Blue cells</t>
  </si>
  <si>
    <t>Input cells — fill these in as you run experiments</t>
  </si>
  <si>
    <t>Green cells</t>
  </si>
  <si>
    <t>Auto-calculated — do not edit</t>
  </si>
  <si>
    <t>Amber cells</t>
  </si>
  <si>
    <t>Notes / reminders</t>
  </si>
  <si>
    <t>Red highlight</t>
  </si>
  <si>
    <t>Automatic flag: result worse than baseline</t>
  </si>
  <si>
    <t>Green highlight</t>
  </si>
  <si>
    <t>Automatic flag: result better than baseline</t>
  </si>
  <si>
    <t>METRIC REFERENCE</t>
  </si>
  <si>
    <t>Accuracy</t>
  </si>
  <si>
    <t>Top-1 classification accuracy on the test split (higher = better)</t>
  </si>
  <si>
    <t>AUC-ROC</t>
  </si>
  <si>
    <t>Area under ROC curve — binary datasets only: BreastMNIST, PneumoniaMNIST (higher = better)</t>
  </si>
  <si>
    <t>ECE</t>
  </si>
  <si>
    <t>Expected Calibration Error — lower is better. &lt;0.05 good, &gt;0.20 poor</t>
  </si>
  <si>
    <t>NLL</t>
  </si>
  <si>
    <t>Negative Log-Likelihood — lower is better. Penalises overconfident wrong predictions</t>
  </si>
  <si>
    <t>Inf. Time (ms)</t>
  </si>
  <si>
    <t>Wall-clock inference time per image for N augmented views</t>
  </si>
  <si>
    <t>STUDENT ASSIGNMENTS</t>
  </si>
  <si>
    <t>S1 → PathMNIST</t>
  </si>
  <si>
    <t>Colon Pathology · 9 classes · 89,996 train samples</t>
  </si>
  <si>
    <t>S2 → DermaMNIST</t>
  </si>
  <si>
    <t>Dermatoscope · 7 classes · 7,007 train samples</t>
  </si>
  <si>
    <t>S3 → PneumoniaMNIST</t>
  </si>
  <si>
    <t>Chest X-Ray · Binary · 4,708 train samples</t>
  </si>
  <si>
    <t>S4 → BreastMNIST</t>
  </si>
  <si>
    <t>Breast Ultrasound · Binary · 546 train samples</t>
  </si>
  <si>
    <t>S5 → BloodMNIST</t>
  </si>
  <si>
    <t>Blood Cell Microscopy · 8 classes · 11,959 train samples</t>
  </si>
  <si>
    <t>S5 → OrganAMNIST</t>
  </si>
  <si>
    <t>Abdominal CT · 11 classes · 34,581 train samples</t>
  </si>
  <si>
    <t>Phase 1 — Baseline Results (No TTA)</t>
  </si>
  <si>
    <t>Fill in one row per dataset after training. Blue = input. Green = auto-flag. Save checkpoint path so all students can reference shared checkpoints.</t>
  </si>
  <si>
    <t>Dataset</t>
  </si>
  <si>
    <t>Modality</t>
  </si>
  <si>
    <t>Student</t>
  </si>
  <si>
    <t>Accuracy (%)</t>
  </si>
  <si>
    <t>ECE ↓</t>
  </si>
  <si>
    <t>NLL ↓</t>
  </si>
  <si>
    <t>Checkpoint Path</t>
  </si>
  <si>
    <t>higher=better</t>
  </si>
  <si>
    <t>binary only</t>
  </si>
  <si>
    <t>lower=better</t>
  </si>
  <si>
    <t>PathMNIST</t>
  </si>
  <si>
    <t>Colon Pathology</t>
  </si>
  <si>
    <t>S1</t>
  </si>
  <si>
    <t>checkpoints/pathmnist_resnet18.pth</t>
  </si>
  <si>
    <t>DermaMNIST</t>
  </si>
  <si>
    <t>Dermatoscope</t>
  </si>
  <si>
    <t>S2</t>
  </si>
  <si>
    <t>checkpoints/dermamnist_resnet18.pth</t>
  </si>
  <si>
    <t>PneumoniaMNIST</t>
  </si>
  <si>
    <t>Chest X-Ray (Binary)</t>
  </si>
  <si>
    <t>S3</t>
  </si>
  <si>
    <t>checkpoints/pneumoniamnist_resnet18.pth</t>
  </si>
  <si>
    <t>BreastMNIST</t>
  </si>
  <si>
    <t>Breast Ultrasound (Bin)</t>
  </si>
  <si>
    <t>S4</t>
  </si>
  <si>
    <t>checkpoints/breastmnist_resnet18.pth</t>
  </si>
  <si>
    <t>BloodMNIST</t>
  </si>
  <si>
    <t>Blood Cell Microscopy</t>
  </si>
  <si>
    <t>S5</t>
  </si>
  <si>
    <t>checkpoints/bloodmnist_resnet18.pth</t>
  </si>
  <si>
    <t>OrganAMNIST</t>
  </si>
  <si>
    <t>Abdominal CT</t>
  </si>
  <si>
    <t>checkpoints/organamnist_resnet18.pth</t>
  </si>
  <si>
    <t>Published MedMNIST benchmarks (ResNet-18, approx): PathMNIST≈88.1  DermaMNIST≈73.4  PneumoniaMNIST≈85.6  BreastMNIST≈86.4  BloodMNIST≈96.9  OrganAMNIST≈77.8  |  Tolerance: ±2%</t>
  </si>
  <si>
    <t>Phase 2 — Standard TTA (Equal Weight) Results</t>
  </si>
  <si>
    <t>Record results for N=5, 10, 20, 50 augmented views per dataset. Baseline (N=1) = your Phase 1 result. Highlight cells that drop below baseline — this replicates the TTA-is-Not-Better finding.</t>
  </si>
  <si>
    <t>N = 5 views</t>
  </si>
  <si>
    <t>N = 10 views</t>
  </si>
  <si>
    <t>N = 20 views</t>
  </si>
  <si>
    <t>N = 50 views</t>
  </si>
  <si>
    <t>Acc (%)</t>
  </si>
  <si>
    <t>Inf.ms</t>
  </si>
  <si>
    <t>↑ better</t>
  </si>
  <si>
    <t>↓ better</t>
  </si>
  <si>
    <t>ms</t>
  </si>
  <si>
    <t>Goal: confirm accuracy drops with N=50 on ≥3 datasets (replicating 'TTA Is Not Better'). Also check ECE — standard TTA typically worsens calibration.</t>
  </si>
  <si>
    <t>Phase 3 — Full Results Matrix  (N=10 views, all strategies)</t>
  </si>
  <si>
    <t>This is the main results table for the paper. Fill every cell. 150 total results (6 datasets × 5 strategies × 5 metrics). AUC only required for BreastMNIST and PneumoniaMNIST.</t>
  </si>
  <si>
    <t>Stu.</t>
  </si>
  <si>
    <t>Baseline TTA</t>
  </si>
  <si>
    <t>Max-Prob Weight</t>
  </si>
  <si>
    <t>Entropy Weight</t>
  </si>
  <si>
    <t>Variance Weight</t>
  </si>
  <si>
    <t>MC Dropout</t>
  </si>
  <si>
    <t>w=1/N</t>
  </si>
  <si>
    <t>w=max(p_i)</t>
  </si>
  <si>
    <t>w=exp(-H(p_i))</t>
  </si>
  <si>
    <t>w=1/(var+ε)</t>
  </si>
  <si>
    <t>T=20 stoch. passes</t>
  </si>
  <si>
    <t>AUC</t>
  </si>
  <si>
    <t>N/A</t>
  </si>
  <si>
    <t>Paper note: For the main results table, highlight the best Accuracy per dataset row in bold. Best ECE per row in italics. Use conditional formatting after filling all data.</t>
  </si>
  <si>
    <t>Phase 4 — Ablation: Effect of Number of Views N</t>
  </si>
  <si>
    <t>Run the best-performing weighted strategy per dataset with N=2,5,10,20,50. Record Accuracy and ECE for each N. Goal: find the sweet spot where gains plateau.</t>
  </si>
  <si>
    <t>Best Strategy</t>
  </si>
  <si>
    <t>N = 2</t>
  </si>
  <si>
    <t>N = 5</t>
  </si>
  <si>
    <t>N = 10</t>
  </si>
  <si>
    <t>N = 20</t>
  </si>
  <si>
    <t>N = 50</t>
  </si>
  <si>
    <t>Fill 'Best Strategy' column once Phase 3 is complete. Update if a different strategy wins per dataset. Plot Acc vs N and ECE vs N for the paper.</t>
  </si>
  <si>
    <t>Phase 4 — Ablation: Augmentation Leave-One-Out (Accuracy Drop)</t>
  </si>
  <si>
    <t>Run the best weighted strategy 10 times, each time removing ONE augmentation. Record accuracy. Lower = that augmentation was important. N=10, using best strategy per dataset.</t>
  </si>
  <si>
    <t>All Augs
Acc (%)</t>
  </si>
  <si>
    <t>Remove
Horiz. Flip</t>
  </si>
  <si>
    <t>Remove
Vert. Flip</t>
  </si>
  <si>
    <t>Remove
±10° Rotation</t>
  </si>
  <si>
    <t>Remove
Brightness ±15%</t>
  </si>
  <si>
    <t>Remove
Gauss. Noise</t>
  </si>
  <si>
    <t>Remove
Centre Crop</t>
  </si>
  <si>
    <t>Remove
Contrast ±10%</t>
  </si>
  <si>
    <t>Remove
Colour Jitter</t>
  </si>
  <si>
    <t>Remove
Elastic Deform</t>
  </si>
  <si>
    <t>Remove
Sharpness ±20%</t>
  </si>
  <si>
    <t>Most Important
Augmentation</t>
  </si>
  <si>
    <t>Phase 4 — Inference Time (ms per image)</t>
  </si>
  <si>
    <t>Measure wall-clock time per image using time.perf_counter(). Average over the full test set. Helps determine the accuracy-vs-latency tradeoff for the paper.</t>
  </si>
  <si>
    <t>N=1 (ms)</t>
  </si>
  <si>
    <t>N=5 (ms)</t>
  </si>
  <si>
    <t>N=10 (ms)</t>
  </si>
  <si>
    <t>N=20 (ms)</t>
  </si>
  <si>
    <t>N=50 (ms)</t>
  </si>
  <si>
    <t>Slowdown ×50 vs ×1</t>
  </si>
  <si>
    <t>baseline</t>
  </si>
  <si>
    <t>TTA</t>
  </si>
  <si>
    <t>auto-calc</t>
  </si>
  <si>
    <t>For the paper's tradeoff plot: plot Accuracy (from Sheet 3, Entropy strategy) on Y-axis vs Inference Time (N=10 column) on X-axis, one point per dataset.</t>
  </si>
  <si>
    <t>Phase 4 — Statistical Significance (Weighted vs Standard TTA)</t>
  </si>
  <si>
    <t>Run Wilcoxon signed-rank test (or paired t-test) comparing per-image predictions: best weighted strategy vs standard TTA. Report p-value. p&lt;0.05 = statistically significant improvement.</t>
  </si>
  <si>
    <t>Test Used</t>
  </si>
  <si>
    <t>p-value</t>
  </si>
  <si>
    <t>Significant?</t>
  </si>
  <si>
    <t>Effect Size (d)</t>
  </si>
  <si>
    <t>Interpretation</t>
  </si>
  <si>
    <t>Fill after Phase 3</t>
  </si>
  <si>
    <t>Wilcoxon / t-test</t>
  </si>
  <si>
    <t>Entropy weighting significantly improves PathMNIST</t>
  </si>
  <si>
    <t>Binary — test AUC difference</t>
  </si>
  <si>
    <t>Small dataset — use exact test</t>
  </si>
  <si>
    <t>Python: from scipy.stats import wilcoxon; stat, p = wilcoxon(acc_weighted, acc_standard)  |  Cohen's d = (mean_diff) / std_pooled  |  d&gt;0.8 large, 0.5–0.8 medium, &lt;0.5 small</t>
  </si>
  <si>
    <t>Paper Summary Table — Copy This Into Your Results Section</t>
  </si>
  <si>
    <t>Manually copy best results from Sheet 3 (Weighted TTA) into the yellow input cells below. Green cells auto-calculate improvement over baseline. This table is ready to paste into the paper.</t>
  </si>
  <si>
    <t>Baseline
Acc (%)</t>
  </si>
  <si>
    <t>Best Strat.
Acc (%)</t>
  </si>
  <si>
    <t>Δ Acc</t>
  </si>
  <si>
    <t>Baseline
ECE</t>
  </si>
  <si>
    <t>Best Strat.
ECE</t>
  </si>
  <si>
    <t>Δ ECE</t>
  </si>
  <si>
    <t>Best
Strategy</t>
  </si>
  <si>
    <t>Sig.?</t>
  </si>
  <si>
    <t>auto (↑=good)</t>
  </si>
  <si>
    <t>auto (↓=good)</t>
  </si>
  <si>
    <t>Chest X-Ray</t>
  </si>
  <si>
    <t>Breast US</t>
  </si>
  <si>
    <t>Blood Microscopy</t>
  </si>
  <si>
    <t>Legend: Yellow cells = fill manually from Sheet 3. Green cells = auto-calculated. Δ Acc positive = improvement. Δ ECE negative = better calibration. Copy rows B–K directly into paper Table 2.</t>
  </si>
  <si>
    <t>■ Blue input cells — fill in your experimental results</t>
  </si>
  <si>
    <t>■ Amber cells — manually copy best values for paper table</t>
  </si>
  <si>
    <t>■ Green cells — auto-calculated (do not edit)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</si>
</sst>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\x"/>
    <numFmt numFmtId="166" formatCode="0.000"/>
    <numFmt numFmtId="167" formatCode="\+0.0000;\-0.0000;0.0000"/>
  </numFmts>
  <fonts count="28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1"/>
      <color rgb="FF2E75B6"/>
      <name val="Arial"/>
      <charset val="1"/>
    </font>
    <font>
      <b/>
      <sz val="9"/>
      <color rgb="FFFFFFFF"/>
      <name val="Arial"/>
      <charset val="1"/>
    </font>
    <font>
      <b/>
      <sz val="9"/>
      <color rgb="FF1F3864"/>
      <name val="Arial"/>
      <charset val="1"/>
    </font>
    <font>
      <sz val="9"/>
      <color rgb="FF333333"/>
      <name val="Arial"/>
      <charset val="1"/>
    </font>
    <font>
      <b/>
      <sz val="14"/>
      <color rgb="FFFFFFFF"/>
      <name val="Arial"/>
      <charset val="1"/>
    </font>
    <font>
      <i/>
      <sz val="8"/>
      <color rgb="FFBF8F00"/>
      <name val="Arial"/>
      <charset val="1"/>
    </font>
    <font>
      <b/>
      <sz val="10"/>
      <color rgb="FFFFFFFF"/>
      <name val="Arial"/>
      <charset val="1"/>
    </font>
    <font>
      <b/>
      <sz val="8"/>
      <color rgb="FF1F3864"/>
      <name val="Arial"/>
      <charset val="1"/>
    </font>
    <font>
      <b/>
      <sz val="10"/>
      <color rgb="FF1F3864"/>
      <name val="Arial"/>
      <charset val="1"/>
    </font>
    <font>
      <sz val="10"/>
      <color rgb="FF333333"/>
      <name val="Arial"/>
      <charset val="1"/>
    </font>
    <font>
      <i/>
      <sz val="9"/>
      <color rgb="FF666666"/>
      <name val="Arial"/>
      <charset val="1"/>
    </font>
    <font>
      <b/>
      <sz val="7"/>
      <color rgb="FF595959"/>
      <name val="Arial"/>
      <charset val="1"/>
    </font>
    <font>
      <sz val="10"/>
      <color rgb="FF1F3864"/>
      <name val="Arial"/>
      <charset val="1"/>
    </font>
    <font>
      <i/>
      <sz val="8"/>
      <color rgb="FF595959"/>
      <name val="Arial"/>
      <charset val="1"/>
    </font>
    <font>
      <i/>
      <sz val="9"/>
      <color rgb="FFAAAAAA"/>
      <name val="Arial"/>
      <charset val="1"/>
    </font>
    <font>
      <b/>
      <sz val="8"/>
      <color rgb="FFFFFFFF"/>
      <name val="Arial"/>
      <charset val="1"/>
    </font>
    <font>
      <i/>
      <sz val="9"/>
      <color rgb="FF375623"/>
      <name val="Arial"/>
      <charset val="1"/>
    </font>
    <font>
      <b/>
      <sz val="8"/>
      <color rgb="FF375623"/>
      <name val="Arial"/>
      <charset val="1"/>
    </font>
    <font>
      <sz val="10"/>
      <color rgb="FF375623"/>
      <name val="Arial"/>
      <charset val="1"/>
    </font>
    <font>
      <i/>
      <sz val="9"/>
      <color rgb="FF888888"/>
      <name val="Arial"/>
      <charset val="1"/>
    </font>
    <font>
      <i/>
      <sz val="9"/>
      <color rgb="FF555555"/>
      <name val="Arial"/>
      <charset val="1"/>
    </font>
    <font>
      <b/>
      <sz val="10"/>
      <color rgb="FFBF8F00"/>
      <name val="Arial"/>
      <charset val="1"/>
    </font>
    <font>
      <i/>
      <sz val="9"/>
      <color rgb="FFBF8F00"/>
      <name val="Arial"/>
      <charset val="1"/>
    </font>
    <font>
      <sz val="9"/>
      <color rgb="FF1F3864"/>
      <name val="Arial"/>
      <charset val="1"/>
    </font>
    <font>
      <sz val="9"/>
      <color rgb="FFBF8F00"/>
      <name val="Arial"/>
      <charset val="1"/>
    </font>
    <font>
      <sz val="9"/>
      <color rgb="FF375623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EEAF1"/>
        <bgColor rgb="FFD2EFF2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BDD7EE"/>
        <bgColor rgb="FFD2EFF2"/>
      </patternFill>
    </fill>
    <fill>
      <patternFill patternType="solid">
        <fgColor rgb="FFF2F2F2"/>
        <bgColor rgb="FFEBF3FB"/>
      </patternFill>
    </fill>
    <fill>
      <patternFill patternType="solid">
        <fgColor rgb="FFEBF3FB"/>
        <bgColor rgb="FFF2F2F2"/>
      </patternFill>
    </fill>
    <fill>
      <patternFill patternType="solid">
        <fgColor rgb="FFD2EFF2"/>
        <bgColor rgb="FFDEEAF1"/>
      </patternFill>
    </fill>
    <fill>
      <patternFill patternType="solid">
        <fgColor rgb="FFE2EFDA"/>
        <bgColor rgb="FFDEEAF1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medium">
        <color rgb="FF2E75B6"/>
      </top>
      <bottom style="thin">
        <color rgb="FFAAAAAA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5" fillId="10" borderId="2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 indent="1"/>
    </xf>
    <xf numFmtId="0" fontId="6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9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indent="1"/>
    </xf>
    <xf numFmtId="0" fontId="11" fillId="8" borderId="1" xfId="0" applyFont="1" applyFill="1" applyBorder="1" applyAlignment="1">
      <alignment horizontal="center" vertical="center"/>
    </xf>
    <xf numFmtId="164" fontId="10" fillId="9" borderId="1" xfId="0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indent="1"/>
    </xf>
    <xf numFmtId="0" fontId="10" fillId="5" borderId="1" xfId="0" applyFont="1" applyFill="1" applyBorder="1" applyAlignment="1">
      <alignment horizontal="left" vertical="center" indent="1"/>
    </xf>
    <xf numFmtId="0" fontId="11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 indent="1"/>
    </xf>
    <xf numFmtId="0" fontId="13" fillId="3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/>
    </xf>
    <xf numFmtId="164" fontId="14" fillId="9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left" vertical="center" indent="1"/>
    </xf>
    <xf numFmtId="0" fontId="14" fillId="5" borderId="1" xfId="0" applyFont="1" applyFill="1" applyBorder="1" applyAlignment="1">
      <alignment horizontal="left" vertical="center" indent="1"/>
    </xf>
    <xf numFmtId="2" fontId="14" fillId="9" borderId="1" xfId="0" applyNumberFormat="1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 wrapText="1"/>
    </xf>
    <xf numFmtId="165" fontId="20" fillId="11" borderId="1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166" fontId="14" fillId="9" borderId="1" xfId="0" applyNumberFormat="1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left" vertical="center" wrapText="1" indent="1"/>
    </xf>
    <xf numFmtId="0" fontId="21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left" vertical="center" wrapText="1" indent="1"/>
    </xf>
    <xf numFmtId="164" fontId="23" fillId="6" borderId="1" xfId="0" applyNumberFormat="1" applyFont="1" applyFill="1" applyBorder="1" applyAlignment="1">
      <alignment horizontal="center" vertical="center"/>
    </xf>
    <xf numFmtId="167" fontId="20" fillId="11" borderId="1" xfId="0" applyNumberFormat="1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 wrapText="1"/>
    </xf>
    <xf numFmtId="0" fontId="25" fillId="9" borderId="2" xfId="0" applyFont="1" applyFill="1" applyBorder="1" applyAlignment="1">
      <alignment horizontal="left" vertical="center" indent="1"/>
    </xf>
    <xf numFmtId="0" fontId="26" fillId="6" borderId="2" xfId="0" applyFont="1" applyFill="1" applyBorder="1" applyAlignment="1">
      <alignment horizontal="left" vertical="center" indent="1"/>
    </xf>
    <xf numFmtId="0" fontId="27" fillId="11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EEAF1"/>
      <rgbColor rgb="FF888888"/>
      <rgbColor rgb="FF9999FF"/>
      <rgbColor rgb="FF595959"/>
      <rgbColor rgb="FFFFF2CC"/>
      <rgbColor rgb="FFD2EF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2F2F2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666666"/>
      <rgbColor rgb="FFAAAAAA"/>
      <rgbColor rgb="FF1F3864"/>
      <rgbColor rgb="FF339966"/>
      <rgbColor rgb="FF003300"/>
      <rgbColor rgb="FF375623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41"/>
  <sheetViews>
    <sheetView showGridLines="0" topLeftCell="A13" zoomScaleNormal="100" workbookViewId="0">
      <selection activeCell="C22" sqref="C22"/>
    </sheetView>
  </sheetViews>
  <sheetFormatPr defaultColWidth="8.6640625" defaultRowHeight="14.4" x14ac:dyDescent="0.3"/>
  <cols>
    <col min="1" max="1" width="3" customWidth="1"/>
    <col min="2" max="2" width="28" customWidth="1"/>
    <col min="3" max="3" width="60" customWidth="1"/>
    <col min="4" max="4" width="22" customWidth="1"/>
  </cols>
  <sheetData>
    <row r="1" spans="2:4" ht="9.75" customHeight="1" x14ac:dyDescent="0.3"/>
    <row r="2" spans="2:4" ht="21.75" customHeight="1" x14ac:dyDescent="0.3">
      <c r="B2" s="14" t="s">
        <v>0</v>
      </c>
      <c r="C2" s="14"/>
      <c r="D2" s="14"/>
    </row>
    <row r="3" spans="2:4" ht="21.75" customHeight="1" x14ac:dyDescent="0.3">
      <c r="B3" s="14"/>
      <c r="C3" s="14"/>
      <c r="D3" s="14"/>
    </row>
    <row r="4" spans="2:4" ht="21.75" customHeight="1" x14ac:dyDescent="0.3">
      <c r="B4" s="14"/>
      <c r="C4" s="14"/>
      <c r="D4" s="14"/>
    </row>
    <row r="5" spans="2:4" ht="21.75" customHeight="1" x14ac:dyDescent="0.3">
      <c r="B5" s="14"/>
      <c r="C5" s="14"/>
      <c r="D5" s="14"/>
    </row>
    <row r="6" spans="2:4" ht="7.5" customHeight="1" x14ac:dyDescent="0.3"/>
    <row r="7" spans="2:4" x14ac:dyDescent="0.3">
      <c r="B7" s="13" t="s">
        <v>1</v>
      </c>
      <c r="C7" s="13"/>
      <c r="D7" s="13"/>
    </row>
    <row r="9" spans="2:4" ht="7.5" customHeight="1" x14ac:dyDescent="0.3"/>
    <row r="10" spans="2:4" ht="18" customHeight="1" x14ac:dyDescent="0.3">
      <c r="B10" s="12" t="s">
        <v>2</v>
      </c>
      <c r="C10" s="12"/>
      <c r="D10" s="12"/>
    </row>
    <row r="11" spans="2:4" ht="18" customHeight="1" x14ac:dyDescent="0.3">
      <c r="B11" s="15" t="s">
        <v>3</v>
      </c>
      <c r="C11" s="16" t="s">
        <v>4</v>
      </c>
    </row>
    <row r="12" spans="2:4" ht="18" customHeight="1" x14ac:dyDescent="0.3">
      <c r="B12" s="17" t="s">
        <v>5</v>
      </c>
      <c r="C12" s="18" t="s">
        <v>6</v>
      </c>
    </row>
    <row r="13" spans="2:4" ht="18" customHeight="1" x14ac:dyDescent="0.3">
      <c r="B13" s="15" t="s">
        <v>7</v>
      </c>
      <c r="C13" s="16" t="s">
        <v>8</v>
      </c>
    </row>
    <row r="14" spans="2:4" ht="18" customHeight="1" x14ac:dyDescent="0.3">
      <c r="B14" s="17" t="s">
        <v>9</v>
      </c>
      <c r="C14" s="18" t="s">
        <v>10</v>
      </c>
    </row>
    <row r="15" spans="2:4" ht="18" customHeight="1" x14ac:dyDescent="0.3">
      <c r="B15" s="15" t="s">
        <v>11</v>
      </c>
      <c r="C15" s="16" t="s">
        <v>12</v>
      </c>
    </row>
    <row r="16" spans="2:4" ht="18" customHeight="1" x14ac:dyDescent="0.3">
      <c r="B16" s="17" t="s">
        <v>13</v>
      </c>
      <c r="C16" s="18" t="s">
        <v>14</v>
      </c>
    </row>
    <row r="17" spans="2:4" ht="18" customHeight="1" x14ac:dyDescent="0.3">
      <c r="B17" s="15" t="s">
        <v>15</v>
      </c>
      <c r="C17" s="16" t="s">
        <v>16</v>
      </c>
    </row>
    <row r="18" spans="2:4" ht="18" customHeight="1" x14ac:dyDescent="0.3">
      <c r="B18" s="17" t="s">
        <v>17</v>
      </c>
      <c r="C18" s="18" t="s">
        <v>18</v>
      </c>
    </row>
    <row r="19" spans="2:4" ht="18" customHeight="1" x14ac:dyDescent="0.3">
      <c r="B19" s="15" t="s">
        <v>19</v>
      </c>
      <c r="C19" s="16" t="s">
        <v>20</v>
      </c>
    </row>
    <row r="20" spans="2:4" ht="7.5" customHeight="1" x14ac:dyDescent="0.3"/>
    <row r="21" spans="2:4" ht="18" customHeight="1" x14ac:dyDescent="0.3">
      <c r="B21" s="12" t="s">
        <v>21</v>
      </c>
      <c r="C21" s="12"/>
      <c r="D21" s="12"/>
    </row>
    <row r="22" spans="2:4" ht="18" customHeight="1" x14ac:dyDescent="0.3">
      <c r="B22" s="17" t="s">
        <v>22</v>
      </c>
      <c r="C22" s="18" t="s">
        <v>23</v>
      </c>
    </row>
    <row r="23" spans="2:4" ht="18" customHeight="1" x14ac:dyDescent="0.3">
      <c r="B23" s="15" t="s">
        <v>24</v>
      </c>
      <c r="C23" s="16" t="s">
        <v>25</v>
      </c>
    </row>
    <row r="24" spans="2:4" ht="18" customHeight="1" x14ac:dyDescent="0.3">
      <c r="B24" s="17" t="s">
        <v>26</v>
      </c>
      <c r="C24" s="18" t="s">
        <v>27</v>
      </c>
    </row>
    <row r="25" spans="2:4" ht="18" customHeight="1" x14ac:dyDescent="0.3">
      <c r="B25" s="15" t="s">
        <v>28</v>
      </c>
      <c r="C25" s="16" t="s">
        <v>29</v>
      </c>
    </row>
    <row r="26" spans="2:4" ht="18" customHeight="1" x14ac:dyDescent="0.3">
      <c r="B26" s="17" t="s">
        <v>30</v>
      </c>
      <c r="C26" s="18" t="s">
        <v>31</v>
      </c>
    </row>
    <row r="27" spans="2:4" ht="7.5" customHeight="1" x14ac:dyDescent="0.3"/>
    <row r="28" spans="2:4" ht="18" customHeight="1" x14ac:dyDescent="0.3">
      <c r="B28" s="12" t="s">
        <v>32</v>
      </c>
      <c r="C28" s="12"/>
      <c r="D28" s="12"/>
    </row>
    <row r="29" spans="2:4" ht="18" customHeight="1" x14ac:dyDescent="0.3">
      <c r="B29" s="15" t="s">
        <v>33</v>
      </c>
      <c r="C29" s="16" t="s">
        <v>34</v>
      </c>
    </row>
    <row r="30" spans="2:4" ht="18" customHeight="1" x14ac:dyDescent="0.3">
      <c r="B30" s="17" t="s">
        <v>35</v>
      </c>
      <c r="C30" s="18" t="s">
        <v>36</v>
      </c>
    </row>
    <row r="31" spans="2:4" ht="18" customHeight="1" x14ac:dyDescent="0.3">
      <c r="B31" s="15" t="s">
        <v>37</v>
      </c>
      <c r="C31" s="16" t="s">
        <v>38</v>
      </c>
    </row>
    <row r="32" spans="2:4" ht="18" customHeight="1" x14ac:dyDescent="0.3">
      <c r="B32" s="17" t="s">
        <v>39</v>
      </c>
      <c r="C32" s="18" t="s">
        <v>40</v>
      </c>
    </row>
    <row r="33" spans="2:4" ht="18" customHeight="1" x14ac:dyDescent="0.3">
      <c r="B33" s="15" t="s">
        <v>41</v>
      </c>
      <c r="C33" s="16" t="s">
        <v>42</v>
      </c>
    </row>
    <row r="34" spans="2:4" ht="7.5" customHeight="1" x14ac:dyDescent="0.3"/>
    <row r="35" spans="2:4" ht="18" customHeight="1" x14ac:dyDescent="0.3">
      <c r="B35" s="12" t="s">
        <v>43</v>
      </c>
      <c r="C35" s="12"/>
      <c r="D35" s="12"/>
    </row>
    <row r="36" spans="2:4" ht="18" customHeight="1" x14ac:dyDescent="0.3">
      <c r="B36" s="17" t="s">
        <v>44</v>
      </c>
      <c r="C36" s="18" t="s">
        <v>45</v>
      </c>
    </row>
    <row r="37" spans="2:4" ht="18" customHeight="1" x14ac:dyDescent="0.3">
      <c r="B37" s="15" t="s">
        <v>46</v>
      </c>
      <c r="C37" s="16" t="s">
        <v>47</v>
      </c>
    </row>
    <row r="38" spans="2:4" ht="18" customHeight="1" x14ac:dyDescent="0.3">
      <c r="B38" s="17" t="s">
        <v>48</v>
      </c>
      <c r="C38" s="18" t="s">
        <v>49</v>
      </c>
    </row>
    <row r="39" spans="2:4" ht="18" customHeight="1" x14ac:dyDescent="0.3">
      <c r="B39" s="15" t="s">
        <v>50</v>
      </c>
      <c r="C39" s="16" t="s">
        <v>51</v>
      </c>
    </row>
    <row r="40" spans="2:4" ht="18" customHeight="1" x14ac:dyDescent="0.3">
      <c r="B40" s="17" t="s">
        <v>52</v>
      </c>
      <c r="C40" s="18" t="s">
        <v>53</v>
      </c>
    </row>
    <row r="41" spans="2:4" ht="18" customHeight="1" x14ac:dyDescent="0.3">
      <c r="B41" s="15" t="s">
        <v>54</v>
      </c>
      <c r="C41" s="16" t="s">
        <v>55</v>
      </c>
    </row>
  </sheetData>
  <mergeCells count="6">
    <mergeCell ref="B35:D35"/>
    <mergeCell ref="B2:D5"/>
    <mergeCell ref="B7:D7"/>
    <mergeCell ref="B10:D10"/>
    <mergeCell ref="B21:D21"/>
    <mergeCell ref="B28:D2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5"/>
  <sheetViews>
    <sheetView showGridLines="0"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ColWidth="8.6640625" defaultRowHeight="14.4" x14ac:dyDescent="0.3"/>
  <cols>
    <col min="1" max="1" width="3" customWidth="1"/>
    <col min="2" max="2" width="20" customWidth="1"/>
    <col min="3" max="3" width="14" customWidth="1"/>
    <col min="4" max="7" width="10" customWidth="1"/>
    <col min="8" max="8" width="12" customWidth="1"/>
    <col min="9" max="9" width="30" customWidth="1"/>
  </cols>
  <sheetData>
    <row r="1" spans="2:9" ht="9.75" customHeight="1" x14ac:dyDescent="0.3"/>
    <row r="2" spans="2:9" ht="31.5" customHeight="1" x14ac:dyDescent="0.3">
      <c r="B2" s="11" t="s">
        <v>56</v>
      </c>
      <c r="C2" s="11"/>
      <c r="D2" s="11"/>
      <c r="E2" s="11"/>
      <c r="F2" s="11"/>
      <c r="G2" s="11"/>
      <c r="H2" s="11"/>
      <c r="I2" s="11"/>
    </row>
    <row r="3" spans="2:9" ht="9.75" customHeight="1" x14ac:dyDescent="0.3"/>
    <row r="4" spans="2:9" ht="19.5" customHeight="1" x14ac:dyDescent="0.3">
      <c r="B4" s="10" t="s">
        <v>57</v>
      </c>
      <c r="C4" s="10"/>
      <c r="D4" s="10"/>
      <c r="E4" s="10"/>
      <c r="F4" s="10"/>
      <c r="G4" s="10"/>
      <c r="H4" s="10"/>
      <c r="I4" s="10"/>
    </row>
    <row r="5" spans="2:9" ht="9.75" customHeight="1" x14ac:dyDescent="0.3"/>
    <row r="6" spans="2:9" ht="36" customHeight="1" x14ac:dyDescent="0.3">
      <c r="B6" s="19" t="s">
        <v>58</v>
      </c>
      <c r="C6" s="19" t="s">
        <v>59</v>
      </c>
      <c r="D6" s="19" t="s">
        <v>60</v>
      </c>
      <c r="E6" s="19" t="s">
        <v>61</v>
      </c>
      <c r="F6" s="19" t="s">
        <v>35</v>
      </c>
      <c r="G6" s="19" t="s">
        <v>62</v>
      </c>
      <c r="H6" s="19" t="s">
        <v>63</v>
      </c>
      <c r="I6" s="19" t="s">
        <v>64</v>
      </c>
    </row>
    <row r="7" spans="2:9" ht="15.75" customHeight="1" x14ac:dyDescent="0.3">
      <c r="B7" s="20"/>
      <c r="C7" s="20"/>
      <c r="D7" s="20"/>
      <c r="E7" s="21" t="s">
        <v>65</v>
      </c>
      <c r="F7" s="21" t="s">
        <v>66</v>
      </c>
      <c r="G7" s="21" t="s">
        <v>67</v>
      </c>
      <c r="H7" s="21" t="s">
        <v>67</v>
      </c>
      <c r="I7" s="20"/>
    </row>
    <row r="8" spans="2:9" ht="21.75" customHeight="1" x14ac:dyDescent="0.3">
      <c r="B8" s="22" t="s">
        <v>68</v>
      </c>
      <c r="C8" s="23" t="s">
        <v>69</v>
      </c>
      <c r="D8" s="23" t="s">
        <v>70</v>
      </c>
      <c r="E8" s="24"/>
      <c r="F8" s="24"/>
      <c r="G8" s="24"/>
      <c r="H8" s="24"/>
      <c r="I8" s="25" t="s">
        <v>71</v>
      </c>
    </row>
    <row r="9" spans="2:9" ht="21.75" customHeight="1" x14ac:dyDescent="0.3">
      <c r="B9" s="26" t="s">
        <v>72</v>
      </c>
      <c r="C9" s="27" t="s">
        <v>73</v>
      </c>
      <c r="D9" s="27" t="s">
        <v>74</v>
      </c>
      <c r="E9" s="24"/>
      <c r="F9" s="24"/>
      <c r="G9" s="24"/>
      <c r="H9" s="24"/>
      <c r="I9" s="28" t="s">
        <v>75</v>
      </c>
    </row>
    <row r="10" spans="2:9" ht="21.75" customHeight="1" x14ac:dyDescent="0.3">
      <c r="B10" s="22" t="s">
        <v>76</v>
      </c>
      <c r="C10" s="23" t="s">
        <v>77</v>
      </c>
      <c r="D10" s="23" t="s">
        <v>78</v>
      </c>
      <c r="E10" s="24"/>
      <c r="F10" s="24"/>
      <c r="G10" s="24"/>
      <c r="H10" s="24"/>
      <c r="I10" s="25" t="s">
        <v>79</v>
      </c>
    </row>
    <row r="11" spans="2:9" ht="21.75" customHeight="1" x14ac:dyDescent="0.3">
      <c r="B11" s="26" t="s">
        <v>80</v>
      </c>
      <c r="C11" s="27" t="s">
        <v>81</v>
      </c>
      <c r="D11" s="27" t="s">
        <v>82</v>
      </c>
      <c r="E11" s="24"/>
      <c r="F11" s="24"/>
      <c r="G11" s="24"/>
      <c r="H11" s="24"/>
      <c r="I11" s="28" t="s">
        <v>83</v>
      </c>
    </row>
    <row r="12" spans="2:9" ht="21.75" customHeight="1" x14ac:dyDescent="0.3">
      <c r="B12" s="22" t="s">
        <v>84</v>
      </c>
      <c r="C12" s="23" t="s">
        <v>85</v>
      </c>
      <c r="D12" s="23" t="s">
        <v>86</v>
      </c>
      <c r="E12" s="24"/>
      <c r="F12" s="24"/>
      <c r="G12" s="24"/>
      <c r="H12" s="24"/>
      <c r="I12" s="25" t="s">
        <v>87</v>
      </c>
    </row>
    <row r="13" spans="2:9" ht="21.75" customHeight="1" x14ac:dyDescent="0.3">
      <c r="B13" s="26" t="s">
        <v>88</v>
      </c>
      <c r="C13" s="27" t="s">
        <v>89</v>
      </c>
      <c r="D13" s="27" t="s">
        <v>86</v>
      </c>
      <c r="E13" s="24"/>
      <c r="F13" s="24"/>
      <c r="G13" s="24"/>
      <c r="H13" s="24"/>
      <c r="I13" s="28" t="s">
        <v>90</v>
      </c>
    </row>
    <row r="14" spans="2:9" ht="9.75" customHeight="1" x14ac:dyDescent="0.3"/>
    <row r="15" spans="2:9" ht="19.5" customHeight="1" x14ac:dyDescent="0.3">
      <c r="B15" s="10" t="s">
        <v>91</v>
      </c>
      <c r="C15" s="10"/>
      <c r="D15" s="10"/>
      <c r="E15" s="10"/>
      <c r="F15" s="10"/>
      <c r="G15" s="10"/>
      <c r="H15" s="10"/>
      <c r="I15" s="10"/>
    </row>
  </sheetData>
  <mergeCells count="3">
    <mergeCell ref="B2:I2"/>
    <mergeCell ref="B4:I4"/>
    <mergeCell ref="B15:I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S17"/>
  <sheetViews>
    <sheetView showGridLines="0"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ColWidth="8.6640625" defaultRowHeight="14.4" x14ac:dyDescent="0.3"/>
  <cols>
    <col min="1" max="1" width="3" customWidth="1"/>
    <col min="2" max="2" width="20" customWidth="1"/>
    <col min="3" max="3" width="8" customWidth="1"/>
    <col min="4" max="17" width="10" customWidth="1"/>
    <col min="18" max="18" width="12" customWidth="1"/>
  </cols>
  <sheetData>
    <row r="1" spans="2:19" ht="9.75" customHeight="1" x14ac:dyDescent="0.3"/>
    <row r="2" spans="2:19" ht="31.5" customHeight="1" x14ac:dyDescent="0.3">
      <c r="B2" s="11" t="s">
        <v>92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2:19" ht="9.75" customHeight="1" x14ac:dyDescent="0.3"/>
    <row r="4" spans="2:19" ht="19.5" customHeight="1" x14ac:dyDescent="0.3">
      <c r="B4" s="10" t="s">
        <v>93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2:19" ht="9.75" customHeight="1" x14ac:dyDescent="0.3"/>
    <row r="6" spans="2:19" ht="21.75" customHeight="1" x14ac:dyDescent="0.3">
      <c r="B6" s="9" t="s">
        <v>58</v>
      </c>
      <c r="C6" s="9" t="s">
        <v>60</v>
      </c>
      <c r="D6" s="8" t="s">
        <v>94</v>
      </c>
      <c r="E6" s="8"/>
      <c r="F6" s="8"/>
      <c r="G6" s="8"/>
      <c r="H6" s="8" t="s">
        <v>95</v>
      </c>
      <c r="I6" s="8"/>
      <c r="J6" s="8"/>
      <c r="K6" s="8"/>
      <c r="L6" s="8" t="s">
        <v>96</v>
      </c>
      <c r="M6" s="8"/>
      <c r="N6" s="8"/>
      <c r="O6" s="8"/>
      <c r="P6" s="8" t="s">
        <v>97</v>
      </c>
      <c r="Q6" s="8"/>
      <c r="R6" s="8"/>
      <c r="S6" s="8"/>
    </row>
    <row r="7" spans="2:19" ht="21.75" customHeight="1" x14ac:dyDescent="0.3">
      <c r="B7" s="9"/>
      <c r="C7" s="9"/>
      <c r="D7" s="21" t="s">
        <v>98</v>
      </c>
      <c r="E7" s="21" t="s">
        <v>62</v>
      </c>
      <c r="F7" s="21" t="s">
        <v>63</v>
      </c>
      <c r="G7" s="21" t="s">
        <v>99</v>
      </c>
      <c r="H7" s="21" t="s">
        <v>98</v>
      </c>
      <c r="I7" s="21" t="s">
        <v>62</v>
      </c>
      <c r="J7" s="21" t="s">
        <v>63</v>
      </c>
      <c r="K7" s="21" t="s">
        <v>99</v>
      </c>
      <c r="L7" s="21" t="s">
        <v>98</v>
      </c>
      <c r="M7" s="21" t="s">
        <v>62</v>
      </c>
      <c r="N7" s="21" t="s">
        <v>63</v>
      </c>
      <c r="O7" s="21" t="s">
        <v>99</v>
      </c>
      <c r="P7" s="21" t="s">
        <v>98</v>
      </c>
      <c r="Q7" s="21" t="s">
        <v>62</v>
      </c>
      <c r="R7" s="21" t="s">
        <v>63</v>
      </c>
      <c r="S7" s="21" t="s">
        <v>99</v>
      </c>
    </row>
    <row r="8" spans="2:19" ht="18" customHeight="1" x14ac:dyDescent="0.3">
      <c r="B8" s="9"/>
      <c r="C8" s="9"/>
      <c r="D8" s="29" t="s">
        <v>100</v>
      </c>
      <c r="E8" s="29" t="s">
        <v>101</v>
      </c>
      <c r="F8" s="29" t="s">
        <v>101</v>
      </c>
      <c r="G8" s="29" t="s">
        <v>102</v>
      </c>
      <c r="H8" s="29" t="s">
        <v>100</v>
      </c>
      <c r="I8" s="29" t="s">
        <v>101</v>
      </c>
      <c r="J8" s="29" t="s">
        <v>101</v>
      </c>
      <c r="K8" s="29" t="s">
        <v>102</v>
      </c>
      <c r="L8" s="29" t="s">
        <v>100</v>
      </c>
      <c r="M8" s="29" t="s">
        <v>101</v>
      </c>
      <c r="N8" s="29" t="s">
        <v>101</v>
      </c>
      <c r="O8" s="29" t="s">
        <v>102</v>
      </c>
      <c r="P8" s="29" t="s">
        <v>100</v>
      </c>
      <c r="Q8" s="29" t="s">
        <v>101</v>
      </c>
      <c r="R8" s="29" t="s">
        <v>101</v>
      </c>
      <c r="S8" s="29" t="s">
        <v>102</v>
      </c>
    </row>
    <row r="9" spans="2:19" ht="21.75" customHeight="1" x14ac:dyDescent="0.3">
      <c r="B9" s="22" t="s">
        <v>68</v>
      </c>
      <c r="C9" s="30" t="s">
        <v>70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</row>
    <row r="10" spans="2:19" ht="21.75" customHeight="1" x14ac:dyDescent="0.3">
      <c r="B10" s="26" t="s">
        <v>72</v>
      </c>
      <c r="C10" s="32" t="s">
        <v>74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</row>
    <row r="11" spans="2:19" ht="21.75" customHeight="1" x14ac:dyDescent="0.3">
      <c r="B11" s="22" t="s">
        <v>76</v>
      </c>
      <c r="C11" s="30" t="s">
        <v>78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</row>
    <row r="12" spans="2:19" ht="21.75" customHeight="1" x14ac:dyDescent="0.3">
      <c r="B12" s="26" t="s">
        <v>80</v>
      </c>
      <c r="C12" s="32" t="s">
        <v>82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</row>
    <row r="13" spans="2:19" ht="21.75" customHeight="1" x14ac:dyDescent="0.3">
      <c r="B13" s="22" t="s">
        <v>84</v>
      </c>
      <c r="C13" s="30" t="s">
        <v>86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</row>
    <row r="14" spans="2:19" ht="21.75" customHeight="1" x14ac:dyDescent="0.3">
      <c r="B14" s="26" t="s">
        <v>88</v>
      </c>
      <c r="C14" s="32" t="s">
        <v>86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</row>
    <row r="16" spans="2:19" ht="9.75" customHeight="1" x14ac:dyDescent="0.3"/>
    <row r="17" spans="2:18" ht="19.5" customHeight="1" x14ac:dyDescent="0.3">
      <c r="B17" s="10" t="s">
        <v>103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</row>
  </sheetData>
  <mergeCells count="9">
    <mergeCell ref="B17:R17"/>
    <mergeCell ref="B2:R2"/>
    <mergeCell ref="B4:R4"/>
    <mergeCell ref="B6:B8"/>
    <mergeCell ref="C6:C8"/>
    <mergeCell ref="D6:G6"/>
    <mergeCell ref="H6:K6"/>
    <mergeCell ref="L6:O6"/>
    <mergeCell ref="P6:S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B17"/>
  <sheetViews>
    <sheetView showGridLines="0"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ColWidth="8.6640625" defaultRowHeight="14.4" x14ac:dyDescent="0.3"/>
  <cols>
    <col min="1" max="1" width="3" customWidth="1"/>
    <col min="2" max="2" width="20" customWidth="1"/>
    <col min="3" max="3" width="8" customWidth="1"/>
    <col min="4" max="28" width="9" customWidth="1"/>
  </cols>
  <sheetData>
    <row r="1" spans="2:28" ht="9.75" customHeight="1" x14ac:dyDescent="0.3"/>
    <row r="2" spans="2:28" ht="31.5" customHeight="1" x14ac:dyDescent="0.3">
      <c r="B2" s="11" t="s">
        <v>104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spans="2:28" ht="9.75" customHeight="1" x14ac:dyDescent="0.3"/>
    <row r="4" spans="2:28" ht="19.5" customHeight="1" x14ac:dyDescent="0.3">
      <c r="B4" s="10" t="s">
        <v>105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2:28" ht="9.75" customHeight="1" x14ac:dyDescent="0.3"/>
    <row r="6" spans="2:28" ht="24" customHeight="1" x14ac:dyDescent="0.3">
      <c r="B6" s="9" t="s">
        <v>58</v>
      </c>
      <c r="C6" s="9" t="s">
        <v>106</v>
      </c>
      <c r="D6" s="7" t="s">
        <v>107</v>
      </c>
      <c r="E6" s="7"/>
      <c r="F6" s="7"/>
      <c r="G6" s="7"/>
      <c r="H6" s="7"/>
      <c r="I6" s="6" t="s">
        <v>108</v>
      </c>
      <c r="J6" s="6"/>
      <c r="K6" s="6"/>
      <c r="L6" s="6"/>
      <c r="M6" s="6"/>
      <c r="N6" s="5" t="s">
        <v>109</v>
      </c>
      <c r="O6" s="5"/>
      <c r="P6" s="5"/>
      <c r="Q6" s="5"/>
      <c r="R6" s="5"/>
      <c r="S6" s="4" t="s">
        <v>110</v>
      </c>
      <c r="T6" s="4"/>
      <c r="U6" s="4"/>
      <c r="V6" s="4"/>
      <c r="W6" s="4"/>
      <c r="X6" s="3" t="s">
        <v>111</v>
      </c>
      <c r="Y6" s="3"/>
      <c r="Z6" s="3"/>
      <c r="AA6" s="3"/>
      <c r="AB6" s="3"/>
    </row>
    <row r="7" spans="2:28" ht="18" customHeight="1" x14ac:dyDescent="0.3">
      <c r="B7" s="9"/>
      <c r="C7" s="9"/>
      <c r="D7" s="2" t="s">
        <v>112</v>
      </c>
      <c r="E7" s="2"/>
      <c r="F7" s="2"/>
      <c r="G7" s="2"/>
      <c r="H7" s="2"/>
      <c r="I7" s="1" t="s">
        <v>113</v>
      </c>
      <c r="J7" s="1"/>
      <c r="K7" s="1"/>
      <c r="L7" s="1"/>
      <c r="M7" s="1"/>
      <c r="N7" s="49" t="s">
        <v>114</v>
      </c>
      <c r="O7" s="49"/>
      <c r="P7" s="49"/>
      <c r="Q7" s="49"/>
      <c r="R7" s="49"/>
      <c r="S7" s="50" t="s">
        <v>115</v>
      </c>
      <c r="T7" s="50"/>
      <c r="U7" s="50"/>
      <c r="V7" s="50"/>
      <c r="W7" s="50"/>
      <c r="X7" s="51" t="s">
        <v>116</v>
      </c>
      <c r="Y7" s="51"/>
      <c r="Z7" s="51"/>
      <c r="AA7" s="51"/>
      <c r="AB7" s="51"/>
    </row>
    <row r="8" spans="2:28" ht="18" customHeight="1" x14ac:dyDescent="0.3">
      <c r="B8" s="9"/>
      <c r="C8" s="9"/>
      <c r="D8" s="21" t="s">
        <v>98</v>
      </c>
      <c r="E8" s="21" t="s">
        <v>62</v>
      </c>
      <c r="F8" s="21" t="s">
        <v>63</v>
      </c>
      <c r="G8" s="21" t="s">
        <v>117</v>
      </c>
      <c r="H8" s="21" t="s">
        <v>99</v>
      </c>
      <c r="I8" s="21" t="s">
        <v>98</v>
      </c>
      <c r="J8" s="21" t="s">
        <v>62</v>
      </c>
      <c r="K8" s="21" t="s">
        <v>63</v>
      </c>
      <c r="L8" s="21" t="s">
        <v>117</v>
      </c>
      <c r="M8" s="21" t="s">
        <v>99</v>
      </c>
      <c r="N8" s="21" t="s">
        <v>98</v>
      </c>
      <c r="O8" s="21" t="s">
        <v>62</v>
      </c>
      <c r="P8" s="21" t="s">
        <v>63</v>
      </c>
      <c r="Q8" s="21" t="s">
        <v>117</v>
      </c>
      <c r="R8" s="21" t="s">
        <v>99</v>
      </c>
      <c r="S8" s="21" t="s">
        <v>98</v>
      </c>
      <c r="T8" s="21" t="s">
        <v>62</v>
      </c>
      <c r="U8" s="21" t="s">
        <v>63</v>
      </c>
      <c r="V8" s="21" t="s">
        <v>117</v>
      </c>
      <c r="W8" s="21" t="s">
        <v>99</v>
      </c>
      <c r="X8" s="21" t="s">
        <v>98</v>
      </c>
      <c r="Y8" s="21" t="s">
        <v>62</v>
      </c>
      <c r="Z8" s="21" t="s">
        <v>63</v>
      </c>
      <c r="AA8" s="21" t="s">
        <v>117</v>
      </c>
      <c r="AB8" s="21" t="s">
        <v>99</v>
      </c>
    </row>
    <row r="9" spans="2:28" ht="21.75" customHeight="1" x14ac:dyDescent="0.3">
      <c r="B9" s="22" t="s">
        <v>68</v>
      </c>
      <c r="C9" s="30" t="s">
        <v>70</v>
      </c>
      <c r="D9" s="31"/>
      <c r="E9" s="31"/>
      <c r="F9" s="31"/>
      <c r="G9" s="33" t="s">
        <v>118</v>
      </c>
      <c r="H9" s="31"/>
      <c r="I9" s="31"/>
      <c r="J9" s="31"/>
      <c r="K9" s="31"/>
      <c r="L9" s="33" t="s">
        <v>118</v>
      </c>
      <c r="M9" s="31"/>
      <c r="N9" s="31"/>
      <c r="O9" s="31"/>
      <c r="P9" s="31"/>
      <c r="Q9" s="33" t="s">
        <v>118</v>
      </c>
      <c r="R9" s="31"/>
      <c r="S9" s="31"/>
      <c r="T9" s="31"/>
      <c r="U9" s="31"/>
      <c r="V9" s="33" t="s">
        <v>118</v>
      </c>
      <c r="W9" s="31"/>
      <c r="X9" s="31"/>
      <c r="Y9" s="31"/>
      <c r="Z9" s="31"/>
      <c r="AA9" s="33" t="s">
        <v>118</v>
      </c>
      <c r="AB9" s="31"/>
    </row>
    <row r="10" spans="2:28" ht="21.75" customHeight="1" x14ac:dyDescent="0.3">
      <c r="B10" s="26" t="s">
        <v>72</v>
      </c>
      <c r="C10" s="32" t="s">
        <v>74</v>
      </c>
      <c r="D10" s="31"/>
      <c r="E10" s="31"/>
      <c r="F10" s="31"/>
      <c r="G10" s="33" t="s">
        <v>118</v>
      </c>
      <c r="H10" s="31"/>
      <c r="I10" s="31"/>
      <c r="J10" s="31"/>
      <c r="K10" s="31"/>
      <c r="L10" s="33" t="s">
        <v>118</v>
      </c>
      <c r="M10" s="31"/>
      <c r="N10" s="31"/>
      <c r="O10" s="31"/>
      <c r="P10" s="31"/>
      <c r="Q10" s="33" t="s">
        <v>118</v>
      </c>
      <c r="R10" s="31"/>
      <c r="S10" s="31"/>
      <c r="T10" s="31"/>
      <c r="U10" s="31"/>
      <c r="V10" s="33" t="s">
        <v>118</v>
      </c>
      <c r="W10" s="31"/>
      <c r="X10" s="31"/>
      <c r="Y10" s="31"/>
      <c r="Z10" s="31"/>
      <c r="AA10" s="33" t="s">
        <v>118</v>
      </c>
      <c r="AB10" s="31"/>
    </row>
    <row r="11" spans="2:28" ht="21.75" customHeight="1" x14ac:dyDescent="0.3">
      <c r="B11" s="22" t="s">
        <v>76</v>
      </c>
      <c r="C11" s="30" t="s">
        <v>78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</row>
    <row r="12" spans="2:28" ht="21.75" customHeight="1" x14ac:dyDescent="0.3">
      <c r="B12" s="26" t="s">
        <v>80</v>
      </c>
      <c r="C12" s="32" t="s">
        <v>82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</row>
    <row r="13" spans="2:28" ht="21.75" customHeight="1" x14ac:dyDescent="0.3">
      <c r="B13" s="22" t="s">
        <v>84</v>
      </c>
      <c r="C13" s="30" t="s">
        <v>86</v>
      </c>
      <c r="D13" s="31"/>
      <c r="E13" s="31"/>
      <c r="F13" s="31"/>
      <c r="G13" s="33" t="s">
        <v>118</v>
      </c>
      <c r="H13" s="31"/>
      <c r="I13" s="31"/>
      <c r="J13" s="31"/>
      <c r="K13" s="31"/>
      <c r="L13" s="33" t="s">
        <v>118</v>
      </c>
      <c r="M13" s="31"/>
      <c r="N13" s="31"/>
      <c r="O13" s="31"/>
      <c r="P13" s="31"/>
      <c r="Q13" s="33" t="s">
        <v>118</v>
      </c>
      <c r="R13" s="31"/>
      <c r="S13" s="31"/>
      <c r="T13" s="31"/>
      <c r="U13" s="31"/>
      <c r="V13" s="33" t="s">
        <v>118</v>
      </c>
      <c r="W13" s="31"/>
      <c r="X13" s="31"/>
      <c r="Y13" s="31"/>
      <c r="Z13" s="31"/>
      <c r="AA13" s="33" t="s">
        <v>118</v>
      </c>
      <c r="AB13" s="31"/>
    </row>
    <row r="14" spans="2:28" ht="21.75" customHeight="1" x14ac:dyDescent="0.3">
      <c r="B14" s="26" t="s">
        <v>88</v>
      </c>
      <c r="C14" s="32" t="s">
        <v>86</v>
      </c>
      <c r="D14" s="31"/>
      <c r="E14" s="31"/>
      <c r="F14" s="31"/>
      <c r="G14" s="33" t="s">
        <v>118</v>
      </c>
      <c r="H14" s="31"/>
      <c r="I14" s="31"/>
      <c r="J14" s="31"/>
      <c r="K14" s="31"/>
      <c r="L14" s="33" t="s">
        <v>118</v>
      </c>
      <c r="M14" s="31"/>
      <c r="N14" s="31"/>
      <c r="O14" s="31"/>
      <c r="P14" s="31"/>
      <c r="Q14" s="33" t="s">
        <v>118</v>
      </c>
      <c r="R14" s="31"/>
      <c r="S14" s="31"/>
      <c r="T14" s="31"/>
      <c r="U14" s="31"/>
      <c r="V14" s="33" t="s">
        <v>118</v>
      </c>
      <c r="W14" s="31"/>
      <c r="X14" s="31"/>
      <c r="Y14" s="31"/>
      <c r="Z14" s="31"/>
      <c r="AA14" s="33" t="s">
        <v>118</v>
      </c>
      <c r="AB14" s="31"/>
    </row>
    <row r="16" spans="2:28" ht="9.75" customHeight="1" x14ac:dyDescent="0.3"/>
    <row r="17" spans="2:28" ht="19.5" customHeight="1" x14ac:dyDescent="0.3">
      <c r="B17" s="10" t="s">
        <v>119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</sheetData>
  <mergeCells count="15">
    <mergeCell ref="B17:AB17"/>
    <mergeCell ref="B2:AB2"/>
    <mergeCell ref="B4:AB4"/>
    <mergeCell ref="B6:B8"/>
    <mergeCell ref="C6:C8"/>
    <mergeCell ref="D6:H6"/>
    <mergeCell ref="I6:M6"/>
    <mergeCell ref="N6:R6"/>
    <mergeCell ref="S6:W6"/>
    <mergeCell ref="X6:AB6"/>
    <mergeCell ref="D7:H7"/>
    <mergeCell ref="I7:M7"/>
    <mergeCell ref="N7:R7"/>
    <mergeCell ref="S7:W7"/>
    <mergeCell ref="X7:AB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16"/>
  <sheetViews>
    <sheetView showGridLines="0" tabSelected="1"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ColWidth="8.6640625" defaultRowHeight="14.4" x14ac:dyDescent="0.3"/>
  <cols>
    <col min="1" max="1" width="3" customWidth="1"/>
    <col min="2" max="2" width="20" customWidth="1"/>
    <col min="3" max="12" width="10" customWidth="1"/>
  </cols>
  <sheetData>
    <row r="1" spans="2:13" ht="9.75" customHeight="1" x14ac:dyDescent="0.3"/>
    <row r="2" spans="2:13" ht="31.5" customHeight="1" x14ac:dyDescent="0.3">
      <c r="B2" s="11" t="s">
        <v>120</v>
      </c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2:13" ht="9.75" customHeight="1" x14ac:dyDescent="0.3"/>
    <row r="4" spans="2:13" ht="19.5" customHeight="1" x14ac:dyDescent="0.3">
      <c r="B4" s="10" t="s">
        <v>121</v>
      </c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2:13" ht="9.75" customHeight="1" x14ac:dyDescent="0.3"/>
    <row r="6" spans="2:13" ht="21.75" customHeight="1" x14ac:dyDescent="0.3">
      <c r="B6" s="9" t="s">
        <v>58</v>
      </c>
      <c r="C6" s="9" t="s">
        <v>122</v>
      </c>
      <c r="D6" s="52" t="s">
        <v>123</v>
      </c>
      <c r="E6" s="52"/>
      <c r="F6" s="52" t="s">
        <v>124</v>
      </c>
      <c r="G6" s="52"/>
      <c r="H6" s="52" t="s">
        <v>125</v>
      </c>
      <c r="I6" s="52"/>
      <c r="J6" s="52" t="s">
        <v>126</v>
      </c>
      <c r="K6" s="52"/>
      <c r="L6" s="52" t="s">
        <v>127</v>
      </c>
      <c r="M6" s="52"/>
    </row>
    <row r="7" spans="2:13" ht="18" customHeight="1" x14ac:dyDescent="0.3">
      <c r="B7" s="9"/>
      <c r="C7" s="9"/>
      <c r="D7" s="21" t="s">
        <v>98</v>
      </c>
      <c r="E7" s="21" t="s">
        <v>62</v>
      </c>
      <c r="F7" s="21" t="s">
        <v>98</v>
      </c>
      <c r="G7" s="21" t="s">
        <v>62</v>
      </c>
      <c r="H7" s="21" t="s">
        <v>98</v>
      </c>
      <c r="I7" s="21" t="s">
        <v>62</v>
      </c>
      <c r="J7" s="21" t="s">
        <v>98</v>
      </c>
      <c r="K7" s="21" t="s">
        <v>62</v>
      </c>
      <c r="L7" s="21" t="s">
        <v>98</v>
      </c>
      <c r="M7" s="21" t="s">
        <v>62</v>
      </c>
    </row>
    <row r="8" spans="2:13" ht="21.75" customHeight="1" x14ac:dyDescent="0.3">
      <c r="B8" s="22" t="s">
        <v>68</v>
      </c>
      <c r="C8" s="34" t="s">
        <v>109</v>
      </c>
      <c r="D8" s="31"/>
      <c r="E8" s="31"/>
      <c r="F8" s="31"/>
      <c r="G8" s="31"/>
      <c r="H8" s="31"/>
      <c r="I8" s="31"/>
      <c r="J8" s="31"/>
      <c r="K8" s="31"/>
      <c r="L8" s="31"/>
      <c r="M8" s="31"/>
    </row>
    <row r="9" spans="2:13" ht="21.75" customHeight="1" x14ac:dyDescent="0.3">
      <c r="B9" s="26" t="s">
        <v>72</v>
      </c>
      <c r="C9" s="35" t="s">
        <v>109</v>
      </c>
      <c r="D9" s="31"/>
      <c r="E9" s="31"/>
      <c r="F9" s="31"/>
      <c r="G9" s="31"/>
      <c r="H9" s="31"/>
      <c r="I9" s="31"/>
      <c r="J9" s="31"/>
      <c r="K9" s="31"/>
      <c r="L9" s="31"/>
      <c r="M9" s="31"/>
    </row>
    <row r="10" spans="2:13" ht="21.75" customHeight="1" x14ac:dyDescent="0.3">
      <c r="B10" s="22" t="s">
        <v>76</v>
      </c>
      <c r="C10" s="34" t="s">
        <v>108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</row>
    <row r="11" spans="2:13" ht="21.75" customHeight="1" x14ac:dyDescent="0.3">
      <c r="B11" s="26" t="s">
        <v>80</v>
      </c>
      <c r="C11" s="35" t="s">
        <v>108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</row>
    <row r="12" spans="2:13" ht="21.75" customHeight="1" x14ac:dyDescent="0.3">
      <c r="B12" s="22" t="s">
        <v>84</v>
      </c>
      <c r="C12" s="34" t="s">
        <v>109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</row>
    <row r="13" spans="2:13" ht="21.75" customHeight="1" x14ac:dyDescent="0.3">
      <c r="B13" s="26" t="s">
        <v>88</v>
      </c>
      <c r="C13" s="35" t="s">
        <v>110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</row>
    <row r="15" spans="2:13" ht="9.75" customHeight="1" x14ac:dyDescent="0.3"/>
    <row r="16" spans="2:13" ht="19.5" customHeight="1" x14ac:dyDescent="0.3">
      <c r="B16" s="10" t="s">
        <v>128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</sheetData>
  <mergeCells count="10">
    <mergeCell ref="B16:L16"/>
    <mergeCell ref="B2:L2"/>
    <mergeCell ref="B4:L4"/>
    <mergeCell ref="B6:B7"/>
    <mergeCell ref="C6:C7"/>
    <mergeCell ref="D6:E6"/>
    <mergeCell ref="F6:G6"/>
    <mergeCell ref="H6:I6"/>
    <mergeCell ref="J6:K6"/>
    <mergeCell ref="L6:M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N13"/>
  <sheetViews>
    <sheetView showGridLines="0"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ColWidth="8.6640625" defaultRowHeight="14.4" x14ac:dyDescent="0.3"/>
  <cols>
    <col min="1" max="1" width="3" customWidth="1"/>
    <col min="2" max="2" width="20" customWidth="1"/>
    <col min="3" max="3" width="10" customWidth="1"/>
    <col min="4" max="13" width="11" customWidth="1"/>
    <col min="14" max="14" width="12" customWidth="1"/>
  </cols>
  <sheetData>
    <row r="1" spans="2:14" ht="9.75" customHeight="1" x14ac:dyDescent="0.3"/>
    <row r="2" spans="2:14" ht="31.5" customHeight="1" x14ac:dyDescent="0.3">
      <c r="B2" s="11" t="s">
        <v>129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2:14" ht="9.75" customHeight="1" x14ac:dyDescent="0.3"/>
    <row r="4" spans="2:14" ht="27.75" customHeight="1" x14ac:dyDescent="0.3">
      <c r="B4" s="10" t="s">
        <v>130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2:14" ht="9.75" customHeight="1" x14ac:dyDescent="0.3"/>
    <row r="6" spans="2:14" ht="21.75" customHeight="1" x14ac:dyDescent="0.3">
      <c r="B6" s="9" t="s">
        <v>58</v>
      </c>
      <c r="C6" s="9" t="s">
        <v>131</v>
      </c>
      <c r="D6" s="53" t="s">
        <v>132</v>
      </c>
      <c r="E6" s="53" t="s">
        <v>133</v>
      </c>
      <c r="F6" s="53" t="s">
        <v>134</v>
      </c>
      <c r="G6" s="53" t="s">
        <v>135</v>
      </c>
      <c r="H6" s="53" t="s">
        <v>136</v>
      </c>
      <c r="I6" s="53" t="s">
        <v>137</v>
      </c>
      <c r="J6" s="53" t="s">
        <v>138</v>
      </c>
      <c r="K6" s="53" t="s">
        <v>139</v>
      </c>
      <c r="L6" s="53" t="s">
        <v>140</v>
      </c>
      <c r="M6" s="53" t="s">
        <v>141</v>
      </c>
      <c r="N6" s="19" t="s">
        <v>142</v>
      </c>
    </row>
    <row r="7" spans="2:14" ht="15.75" customHeight="1" x14ac:dyDescent="0.3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2:14" ht="21.75" customHeight="1" x14ac:dyDescent="0.3">
      <c r="B8" s="22" t="s">
        <v>68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7" t="str">
        <f>IFERROR(INDEX(D6:M6,MATCH(MIN(D8:M8),D8:M8,0)),"Fill data first")</f>
        <v>Fill data first</v>
      </c>
    </row>
    <row r="9" spans="2:14" ht="21.75" customHeight="1" x14ac:dyDescent="0.3">
      <c r="B9" s="26" t="s">
        <v>72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7" t="str">
        <f>IFERROR(INDEX(D6:M6,MATCH(MIN(D9:M9),D9:M9,0)),"Fill data first")</f>
        <v>Fill data first</v>
      </c>
    </row>
    <row r="10" spans="2:14" ht="21.75" customHeight="1" x14ac:dyDescent="0.3">
      <c r="B10" s="22" t="s">
        <v>76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7" t="str">
        <f>IFERROR(INDEX(D6:M6,MATCH(MIN(D10:M10),D10:M10,0)),"Fill data first")</f>
        <v>Fill data first</v>
      </c>
    </row>
    <row r="11" spans="2:14" ht="21.75" customHeight="1" x14ac:dyDescent="0.3">
      <c r="B11" s="26" t="s">
        <v>80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7" t="str">
        <f>IFERROR(INDEX(D6:M6,MATCH(MIN(D11:M11),D11:M11,0)),"Fill data first")</f>
        <v>Fill data first</v>
      </c>
    </row>
    <row r="12" spans="2:14" ht="21.75" customHeight="1" x14ac:dyDescent="0.3">
      <c r="B12" s="22" t="s">
        <v>84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tr">
        <f>IFERROR(INDEX(D6:M6,MATCH(MIN(D12:M12),D12:M12,0)),"Fill data first")</f>
        <v>Fill data first</v>
      </c>
    </row>
    <row r="13" spans="2:14" ht="21.75" customHeight="1" x14ac:dyDescent="0.3">
      <c r="B13" s="26" t="s">
        <v>88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7" t="str">
        <f>IFERROR(INDEX(D6:M6,MATCH(MIN(D13:M13),D13:M13,0)),"Fill data first")</f>
        <v>Fill data first</v>
      </c>
    </row>
  </sheetData>
  <mergeCells count="14">
    <mergeCell ref="B2:N2"/>
    <mergeCell ref="B4:N4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16"/>
  <sheetViews>
    <sheetView showGridLines="0"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ColWidth="8.6640625" defaultRowHeight="14.4" x14ac:dyDescent="0.3"/>
  <cols>
    <col min="1" max="1" width="3" customWidth="1"/>
    <col min="2" max="2" width="20" customWidth="1"/>
    <col min="3" max="3" width="10" customWidth="1"/>
    <col min="4" max="7" width="12" customWidth="1"/>
    <col min="8" max="8" width="16" customWidth="1"/>
    <col min="9" max="9" width="20" customWidth="1"/>
  </cols>
  <sheetData>
    <row r="1" spans="2:9" ht="9.75" customHeight="1" x14ac:dyDescent="0.3"/>
    <row r="2" spans="2:9" ht="31.5" customHeight="1" x14ac:dyDescent="0.3">
      <c r="B2" s="11" t="s">
        <v>143</v>
      </c>
      <c r="C2" s="11"/>
      <c r="D2" s="11"/>
      <c r="E2" s="11"/>
      <c r="F2" s="11"/>
      <c r="G2" s="11"/>
      <c r="H2" s="11"/>
      <c r="I2" s="11"/>
    </row>
    <row r="3" spans="2:9" ht="9.75" customHeight="1" x14ac:dyDescent="0.3"/>
    <row r="4" spans="2:9" ht="19.5" customHeight="1" x14ac:dyDescent="0.3">
      <c r="B4" s="10" t="s">
        <v>144</v>
      </c>
      <c r="C4" s="10"/>
      <c r="D4" s="10"/>
      <c r="E4" s="10"/>
      <c r="F4" s="10"/>
      <c r="G4" s="10"/>
      <c r="H4" s="10"/>
      <c r="I4" s="10"/>
    </row>
    <row r="5" spans="2:9" ht="9.75" customHeight="1" x14ac:dyDescent="0.3"/>
    <row r="6" spans="2:9" ht="21.75" customHeight="1" x14ac:dyDescent="0.3">
      <c r="B6" s="19" t="s">
        <v>58</v>
      </c>
      <c r="C6" s="19" t="s">
        <v>60</v>
      </c>
      <c r="D6" s="19" t="s">
        <v>145</v>
      </c>
      <c r="E6" s="19" t="s">
        <v>146</v>
      </c>
      <c r="F6" s="19" t="s">
        <v>147</v>
      </c>
      <c r="G6" s="19" t="s">
        <v>148</v>
      </c>
      <c r="H6" s="19" t="s">
        <v>149</v>
      </c>
      <c r="I6" s="19" t="s">
        <v>150</v>
      </c>
    </row>
    <row r="7" spans="2:9" ht="15.75" customHeight="1" x14ac:dyDescent="0.3">
      <c r="D7" s="21" t="s">
        <v>151</v>
      </c>
      <c r="E7" s="21" t="s">
        <v>152</v>
      </c>
      <c r="F7" s="21" t="s">
        <v>152</v>
      </c>
      <c r="G7" s="21" t="s">
        <v>152</v>
      </c>
      <c r="H7" s="21" t="s">
        <v>152</v>
      </c>
      <c r="I7" s="38" t="s">
        <v>153</v>
      </c>
    </row>
    <row r="8" spans="2:9" ht="21.75" customHeight="1" x14ac:dyDescent="0.3">
      <c r="B8" s="22" t="s">
        <v>68</v>
      </c>
      <c r="C8" s="30" t="s">
        <v>70</v>
      </c>
      <c r="D8" s="36"/>
      <c r="E8" s="36"/>
      <c r="F8" s="36"/>
      <c r="G8" s="36"/>
      <c r="H8" s="36"/>
      <c r="I8" s="39" t="str">
        <f t="shared" ref="I8:I13" si="0">IFERROR(H8/D8,"")</f>
        <v/>
      </c>
    </row>
    <row r="9" spans="2:9" ht="21.75" customHeight="1" x14ac:dyDescent="0.3">
      <c r="B9" s="26" t="s">
        <v>72</v>
      </c>
      <c r="C9" s="32" t="s">
        <v>74</v>
      </c>
      <c r="D9" s="36"/>
      <c r="E9" s="36"/>
      <c r="F9" s="36"/>
      <c r="G9" s="36"/>
      <c r="H9" s="36"/>
      <c r="I9" s="39" t="str">
        <f t="shared" si="0"/>
        <v/>
      </c>
    </row>
    <row r="10" spans="2:9" ht="21.75" customHeight="1" x14ac:dyDescent="0.3">
      <c r="B10" s="22" t="s">
        <v>76</v>
      </c>
      <c r="C10" s="30" t="s">
        <v>78</v>
      </c>
      <c r="D10" s="36"/>
      <c r="E10" s="36"/>
      <c r="F10" s="36"/>
      <c r="G10" s="36"/>
      <c r="H10" s="36"/>
      <c r="I10" s="39" t="str">
        <f t="shared" si="0"/>
        <v/>
      </c>
    </row>
    <row r="11" spans="2:9" ht="21.75" customHeight="1" x14ac:dyDescent="0.3">
      <c r="B11" s="26" t="s">
        <v>80</v>
      </c>
      <c r="C11" s="32" t="s">
        <v>82</v>
      </c>
      <c r="D11" s="36"/>
      <c r="E11" s="36"/>
      <c r="F11" s="36"/>
      <c r="G11" s="36"/>
      <c r="H11" s="36"/>
      <c r="I11" s="39" t="str">
        <f t="shared" si="0"/>
        <v/>
      </c>
    </row>
    <row r="12" spans="2:9" ht="21.75" customHeight="1" x14ac:dyDescent="0.3">
      <c r="B12" s="22" t="s">
        <v>84</v>
      </c>
      <c r="C12" s="30" t="s">
        <v>86</v>
      </c>
      <c r="D12" s="36"/>
      <c r="E12" s="36"/>
      <c r="F12" s="36"/>
      <c r="G12" s="36"/>
      <c r="H12" s="36"/>
      <c r="I12" s="39" t="str">
        <f t="shared" si="0"/>
        <v/>
      </c>
    </row>
    <row r="13" spans="2:9" ht="21.75" customHeight="1" x14ac:dyDescent="0.3">
      <c r="B13" s="26" t="s">
        <v>88</v>
      </c>
      <c r="C13" s="32" t="s">
        <v>86</v>
      </c>
      <c r="D13" s="36"/>
      <c r="E13" s="36"/>
      <c r="F13" s="36"/>
      <c r="G13" s="36"/>
      <c r="H13" s="36"/>
      <c r="I13" s="39" t="str">
        <f t="shared" si="0"/>
        <v/>
      </c>
    </row>
    <row r="15" spans="2:9" ht="9.75" customHeight="1" x14ac:dyDescent="0.3"/>
    <row r="16" spans="2:9" ht="19.5" customHeight="1" x14ac:dyDescent="0.3">
      <c r="B16" s="10" t="s">
        <v>154</v>
      </c>
      <c r="C16" s="10"/>
      <c r="D16" s="10"/>
      <c r="E16" s="10"/>
      <c r="F16" s="10"/>
      <c r="G16" s="10"/>
      <c r="H16" s="10"/>
      <c r="I16" s="10"/>
    </row>
  </sheetData>
  <mergeCells count="3">
    <mergeCell ref="B2:I2"/>
    <mergeCell ref="B4:I4"/>
    <mergeCell ref="B16:I1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H15"/>
  <sheetViews>
    <sheetView showGridLines="0"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ColWidth="8.6640625" defaultRowHeight="14.4" x14ac:dyDescent="0.3"/>
  <cols>
    <col min="1" max="1" width="3" customWidth="1"/>
    <col min="2" max="2" width="20" customWidth="1"/>
    <col min="3" max="3" width="18" customWidth="1"/>
    <col min="4" max="6" width="14" customWidth="1"/>
    <col min="7" max="7" width="16" customWidth="1"/>
    <col min="8" max="8" width="20" customWidth="1"/>
  </cols>
  <sheetData>
    <row r="1" spans="2:8" ht="9.75" customHeight="1" x14ac:dyDescent="0.3"/>
    <row r="2" spans="2:8" ht="31.5" customHeight="1" x14ac:dyDescent="0.3">
      <c r="B2" s="11" t="s">
        <v>155</v>
      </c>
      <c r="C2" s="11"/>
      <c r="D2" s="11"/>
      <c r="E2" s="11"/>
      <c r="F2" s="11"/>
      <c r="G2" s="11"/>
      <c r="H2" s="11"/>
    </row>
    <row r="3" spans="2:8" ht="9.75" customHeight="1" x14ac:dyDescent="0.3"/>
    <row r="4" spans="2:8" ht="27.75" customHeight="1" x14ac:dyDescent="0.3">
      <c r="B4" s="10" t="s">
        <v>156</v>
      </c>
      <c r="C4" s="10"/>
      <c r="D4" s="10"/>
      <c r="E4" s="10"/>
      <c r="F4" s="10"/>
      <c r="G4" s="10"/>
      <c r="H4" s="10"/>
    </row>
    <row r="5" spans="2:8" ht="9.75" customHeight="1" x14ac:dyDescent="0.3"/>
    <row r="6" spans="2:8" ht="21.75" customHeight="1" x14ac:dyDescent="0.3">
      <c r="B6" s="19" t="s">
        <v>58</v>
      </c>
      <c r="C6" s="19" t="s">
        <v>122</v>
      </c>
      <c r="D6" s="19" t="s">
        <v>157</v>
      </c>
      <c r="E6" s="19" t="s">
        <v>158</v>
      </c>
      <c r="F6" s="19" t="s">
        <v>159</v>
      </c>
      <c r="G6" s="19" t="s">
        <v>160</v>
      </c>
      <c r="H6" s="19" t="s">
        <v>161</v>
      </c>
    </row>
    <row r="7" spans="2:8" ht="21.75" customHeight="1" x14ac:dyDescent="0.3">
      <c r="B7" s="22" t="s">
        <v>68</v>
      </c>
      <c r="C7" s="40" t="s">
        <v>162</v>
      </c>
      <c r="D7" s="40" t="s">
        <v>163</v>
      </c>
      <c r="E7" s="31"/>
      <c r="F7" s="41" t="str">
        <f t="shared" ref="F7:F12" si="0">IF(E7="","",IF(E7&lt;0.05,"✓ YES (p&lt;0.05)","✗ NO"))</f>
        <v/>
      </c>
      <c r="G7" s="42"/>
      <c r="H7" s="43" t="s">
        <v>164</v>
      </c>
    </row>
    <row r="8" spans="2:8" ht="21.75" customHeight="1" x14ac:dyDescent="0.3">
      <c r="B8" s="26" t="s">
        <v>72</v>
      </c>
      <c r="C8" s="44" t="s">
        <v>162</v>
      </c>
      <c r="D8" s="44" t="s">
        <v>163</v>
      </c>
      <c r="E8" s="31"/>
      <c r="F8" s="41" t="str">
        <f t="shared" si="0"/>
        <v/>
      </c>
      <c r="G8" s="42"/>
      <c r="H8" s="45" t="s">
        <v>162</v>
      </c>
    </row>
    <row r="9" spans="2:8" ht="21.75" customHeight="1" x14ac:dyDescent="0.3">
      <c r="B9" s="22" t="s">
        <v>76</v>
      </c>
      <c r="C9" s="40" t="s">
        <v>162</v>
      </c>
      <c r="D9" s="40" t="s">
        <v>163</v>
      </c>
      <c r="E9" s="31"/>
      <c r="F9" s="41" t="str">
        <f t="shared" si="0"/>
        <v/>
      </c>
      <c r="G9" s="42"/>
      <c r="H9" s="43" t="s">
        <v>165</v>
      </c>
    </row>
    <row r="10" spans="2:8" ht="21.75" customHeight="1" x14ac:dyDescent="0.3">
      <c r="B10" s="26" t="s">
        <v>80</v>
      </c>
      <c r="C10" s="44" t="s">
        <v>162</v>
      </c>
      <c r="D10" s="44" t="s">
        <v>163</v>
      </c>
      <c r="E10" s="31"/>
      <c r="F10" s="41" t="str">
        <f t="shared" si="0"/>
        <v/>
      </c>
      <c r="G10" s="42"/>
      <c r="H10" s="45" t="s">
        <v>166</v>
      </c>
    </row>
    <row r="11" spans="2:8" ht="21.75" customHeight="1" x14ac:dyDescent="0.3">
      <c r="B11" s="22" t="s">
        <v>84</v>
      </c>
      <c r="C11" s="40" t="s">
        <v>162</v>
      </c>
      <c r="D11" s="40" t="s">
        <v>163</v>
      </c>
      <c r="E11" s="31"/>
      <c r="F11" s="41" t="str">
        <f t="shared" si="0"/>
        <v/>
      </c>
      <c r="G11" s="42"/>
      <c r="H11" s="43" t="s">
        <v>162</v>
      </c>
    </row>
    <row r="12" spans="2:8" ht="21.75" customHeight="1" x14ac:dyDescent="0.3">
      <c r="B12" s="26" t="s">
        <v>88</v>
      </c>
      <c r="C12" s="44" t="s">
        <v>162</v>
      </c>
      <c r="D12" s="44" t="s">
        <v>163</v>
      </c>
      <c r="E12" s="31"/>
      <c r="F12" s="41" t="str">
        <f t="shared" si="0"/>
        <v/>
      </c>
      <c r="G12" s="42"/>
      <c r="H12" s="45" t="s">
        <v>162</v>
      </c>
    </row>
    <row r="14" spans="2:8" ht="9.75" customHeight="1" x14ac:dyDescent="0.3"/>
    <row r="15" spans="2:8" ht="19.5" customHeight="1" x14ac:dyDescent="0.3">
      <c r="B15" s="10" t="s">
        <v>167</v>
      </c>
      <c r="C15" s="10"/>
      <c r="D15" s="10"/>
      <c r="E15" s="10"/>
      <c r="F15" s="10"/>
      <c r="G15" s="10"/>
      <c r="H15" s="10"/>
    </row>
  </sheetData>
  <mergeCells count="3">
    <mergeCell ref="B2:H2"/>
    <mergeCell ref="B4:H4"/>
    <mergeCell ref="B15:H15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21"/>
  <sheetViews>
    <sheetView showGridLines="0"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ColWidth="8.6640625" defaultRowHeight="14.4" x14ac:dyDescent="0.3"/>
  <cols>
    <col min="1" max="1" width="3" customWidth="1"/>
    <col min="2" max="2" width="22" customWidth="1"/>
    <col min="3" max="3" width="14" customWidth="1"/>
    <col min="4" max="7" width="12" customWidth="1"/>
    <col min="8" max="9" width="14" customWidth="1"/>
    <col min="10" max="10" width="22" customWidth="1"/>
    <col min="11" max="11" width="10" customWidth="1"/>
  </cols>
  <sheetData>
    <row r="1" spans="2:11" ht="9.75" customHeight="1" x14ac:dyDescent="0.3"/>
    <row r="2" spans="2:11" ht="31.5" customHeight="1" x14ac:dyDescent="0.3">
      <c r="B2" s="11" t="s">
        <v>168</v>
      </c>
      <c r="C2" s="11"/>
      <c r="D2" s="11"/>
      <c r="E2" s="11"/>
      <c r="F2" s="11"/>
      <c r="G2" s="11"/>
      <c r="H2" s="11"/>
      <c r="I2" s="11"/>
      <c r="J2" s="11"/>
    </row>
    <row r="3" spans="2:11" ht="9.75" customHeight="1" x14ac:dyDescent="0.3"/>
    <row r="4" spans="2:11" ht="19.5" customHeight="1" x14ac:dyDescent="0.3">
      <c r="B4" s="10" t="s">
        <v>169</v>
      </c>
      <c r="C4" s="10"/>
      <c r="D4" s="10"/>
      <c r="E4" s="10"/>
      <c r="F4" s="10"/>
      <c r="G4" s="10"/>
      <c r="H4" s="10"/>
      <c r="I4" s="10"/>
      <c r="J4" s="10"/>
    </row>
    <row r="5" spans="2:11" ht="9.75" customHeight="1" x14ac:dyDescent="0.3"/>
    <row r="6" spans="2:11" ht="24" customHeight="1" x14ac:dyDescent="0.3">
      <c r="B6" s="19" t="s">
        <v>58</v>
      </c>
      <c r="C6" s="19" t="s">
        <v>59</v>
      </c>
      <c r="D6" s="19" t="s">
        <v>170</v>
      </c>
      <c r="E6" s="19" t="s">
        <v>171</v>
      </c>
      <c r="F6" s="19" t="s">
        <v>172</v>
      </c>
      <c r="G6" s="19" t="s">
        <v>173</v>
      </c>
      <c r="H6" s="19" t="s">
        <v>174</v>
      </c>
      <c r="I6" s="19" t="s">
        <v>175</v>
      </c>
      <c r="J6" s="19" t="s">
        <v>176</v>
      </c>
      <c r="K6" s="19" t="s">
        <v>177</v>
      </c>
    </row>
    <row r="7" spans="2:11" ht="18" customHeight="1" x14ac:dyDescent="0.3">
      <c r="B7" s="20"/>
      <c r="C7" s="20"/>
      <c r="D7" s="20"/>
      <c r="E7" s="20"/>
      <c r="F7" s="38" t="s">
        <v>178</v>
      </c>
      <c r="G7" s="20"/>
      <c r="H7" s="20"/>
      <c r="I7" s="38" t="s">
        <v>179</v>
      </c>
      <c r="J7" s="20"/>
      <c r="K7" s="20"/>
    </row>
    <row r="8" spans="2:11" ht="24" customHeight="1" x14ac:dyDescent="0.3">
      <c r="B8" s="22" t="s">
        <v>68</v>
      </c>
      <c r="C8" s="34" t="s">
        <v>69</v>
      </c>
      <c r="D8" s="46"/>
      <c r="E8" s="46"/>
      <c r="F8" s="47">
        <f t="shared" ref="F8:F13" si="0">IFERROR(E8-D8,"")</f>
        <v>0</v>
      </c>
      <c r="G8" s="46"/>
      <c r="H8" s="46"/>
      <c r="I8" s="47">
        <f t="shared" ref="I8:I13" si="1">IFERROR(H8-G8,"")</f>
        <v>0</v>
      </c>
      <c r="J8" s="48"/>
      <c r="K8" s="48"/>
    </row>
    <row r="9" spans="2:11" ht="24" customHeight="1" x14ac:dyDescent="0.3">
      <c r="B9" s="26" t="s">
        <v>72</v>
      </c>
      <c r="C9" s="35" t="s">
        <v>73</v>
      </c>
      <c r="D9" s="46"/>
      <c r="E9" s="46"/>
      <c r="F9" s="47">
        <f t="shared" si="0"/>
        <v>0</v>
      </c>
      <c r="G9" s="46"/>
      <c r="H9" s="46"/>
      <c r="I9" s="47">
        <f t="shared" si="1"/>
        <v>0</v>
      </c>
      <c r="J9" s="48"/>
      <c r="K9" s="48"/>
    </row>
    <row r="10" spans="2:11" ht="24" customHeight="1" x14ac:dyDescent="0.3">
      <c r="B10" s="22" t="s">
        <v>76</v>
      </c>
      <c r="C10" s="34" t="s">
        <v>180</v>
      </c>
      <c r="D10" s="46"/>
      <c r="E10" s="46"/>
      <c r="F10" s="47">
        <f t="shared" si="0"/>
        <v>0</v>
      </c>
      <c r="G10" s="46"/>
      <c r="H10" s="46"/>
      <c r="I10" s="47">
        <f t="shared" si="1"/>
        <v>0</v>
      </c>
      <c r="J10" s="48"/>
      <c r="K10" s="48"/>
    </row>
    <row r="11" spans="2:11" ht="24" customHeight="1" x14ac:dyDescent="0.3">
      <c r="B11" s="26" t="s">
        <v>80</v>
      </c>
      <c r="C11" s="35" t="s">
        <v>181</v>
      </c>
      <c r="D11" s="46"/>
      <c r="E11" s="46"/>
      <c r="F11" s="47">
        <f t="shared" si="0"/>
        <v>0</v>
      </c>
      <c r="G11" s="46"/>
      <c r="H11" s="46"/>
      <c r="I11" s="47">
        <f t="shared" si="1"/>
        <v>0</v>
      </c>
      <c r="J11" s="48"/>
      <c r="K11" s="48"/>
    </row>
    <row r="12" spans="2:11" ht="24" customHeight="1" x14ac:dyDescent="0.3">
      <c r="B12" s="22" t="s">
        <v>84</v>
      </c>
      <c r="C12" s="34" t="s">
        <v>182</v>
      </c>
      <c r="D12" s="46"/>
      <c r="E12" s="46"/>
      <c r="F12" s="47">
        <f t="shared" si="0"/>
        <v>0</v>
      </c>
      <c r="G12" s="46"/>
      <c r="H12" s="46"/>
      <c r="I12" s="47">
        <f t="shared" si="1"/>
        <v>0</v>
      </c>
      <c r="J12" s="48"/>
      <c r="K12" s="48"/>
    </row>
    <row r="13" spans="2:11" ht="24" customHeight="1" x14ac:dyDescent="0.3">
      <c r="B13" s="26" t="s">
        <v>88</v>
      </c>
      <c r="C13" s="35" t="s">
        <v>89</v>
      </c>
      <c r="D13" s="46"/>
      <c r="E13" s="46"/>
      <c r="F13" s="47">
        <f t="shared" si="0"/>
        <v>0</v>
      </c>
      <c r="G13" s="46"/>
      <c r="H13" s="46"/>
      <c r="I13" s="47">
        <f t="shared" si="1"/>
        <v>0</v>
      </c>
      <c r="J13" s="48"/>
      <c r="K13" s="48"/>
    </row>
    <row r="15" spans="2:11" ht="9.75" customHeight="1" x14ac:dyDescent="0.3"/>
    <row r="16" spans="2:11" ht="19.5" customHeight="1" x14ac:dyDescent="0.3">
      <c r="B16" s="10" t="s">
        <v>183</v>
      </c>
      <c r="C16" s="10"/>
      <c r="D16" s="10"/>
      <c r="E16" s="10"/>
      <c r="F16" s="10"/>
      <c r="G16" s="10"/>
      <c r="H16" s="10"/>
      <c r="I16" s="10"/>
      <c r="J16" s="10"/>
      <c r="K16" s="10"/>
    </row>
    <row r="18" spans="2:4" ht="18" customHeight="1" x14ac:dyDescent="0.3">
      <c r="B18" s="54" t="s">
        <v>184</v>
      </c>
      <c r="C18" s="54"/>
      <c r="D18" s="54"/>
    </row>
    <row r="19" spans="2:4" ht="18" customHeight="1" x14ac:dyDescent="0.3">
      <c r="B19" s="55" t="s">
        <v>185</v>
      </c>
      <c r="C19" s="55"/>
      <c r="D19" s="55"/>
    </row>
    <row r="20" spans="2:4" ht="18" customHeight="1" x14ac:dyDescent="0.3">
      <c r="B20" s="56" t="s">
        <v>186</v>
      </c>
      <c r="C20" s="56"/>
      <c r="D20" s="56"/>
    </row>
    <row r="21" spans="2:4" ht="18" customHeight="1" x14ac:dyDescent="0.3"/>
  </sheetData>
  <mergeCells count="6">
    <mergeCell ref="B20:D20"/>
    <mergeCell ref="B2:J2"/>
    <mergeCell ref="B4:J4"/>
    <mergeCell ref="B16:K16"/>
    <mergeCell ref="B18:D18"/>
    <mergeCell ref="B19:D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📋 Guide</vt:lpstr>
      <vt:lpstr>1️⃣  Baselines</vt:lpstr>
      <vt:lpstr>2️⃣  Standard TTA</vt:lpstr>
      <vt:lpstr>3️⃣  Weighted TTA</vt:lpstr>
      <vt:lpstr>4️⃣  Ablation N</vt:lpstr>
      <vt:lpstr>5️⃣  Ablation Augments</vt:lpstr>
      <vt:lpstr>6️⃣  Inference Time</vt:lpstr>
      <vt:lpstr>7️⃣  Statistical Tests</vt:lpstr>
      <vt:lpstr>📊 Paper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2026-05-26T21:12:39Z</dcterms:created>
  <dcterms:modified xsi:type="dcterms:W3CDTF">2026-05-26T21:21:11Z</dcterms:modified>
  <dc:language>en-US</dc:language>
</cp:coreProperties>
</file>